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sain\Desktop\"/>
    </mc:Choice>
  </mc:AlternateContent>
  <xr:revisionPtr revIDLastSave="0" documentId="13_ncr:1_{40B02D6A-62A8-4C7E-95B9-965412D95FE7}" xr6:coauthVersionLast="36" xr6:coauthVersionMax="36" xr10:uidLastSave="{00000000-0000-0000-0000-000000000000}"/>
  <bookViews>
    <workbookView xWindow="0" yWindow="0" windowWidth="17724" windowHeight="7056" activeTab="1" xr2:uid="{840E7D49-8617-4BB6-B593-D207EE50E9C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8" i="2" l="1"/>
  <c r="C45" i="2"/>
  <c r="C75" i="2" l="1"/>
  <c r="F12" i="2"/>
  <c r="H12" i="2" s="1"/>
  <c r="J9" i="2"/>
  <c r="H9" i="2"/>
  <c r="F8" i="2"/>
  <c r="J8" i="2" s="1"/>
  <c r="F9" i="2"/>
  <c r="F11" i="2"/>
  <c r="J11" i="2" s="1"/>
  <c r="F3" i="2"/>
  <c r="F4" i="2"/>
  <c r="F5" i="2"/>
  <c r="F6" i="2"/>
  <c r="D7" i="2"/>
  <c r="F7" i="2" s="1"/>
  <c r="H8" i="2" l="1"/>
  <c r="H11" i="2"/>
  <c r="D10" i="2"/>
  <c r="F10" i="2" s="1"/>
  <c r="H10" i="2" l="1"/>
  <c r="J10" i="2"/>
  <c r="J3" i="2"/>
  <c r="J6" i="2"/>
  <c r="H7" i="2"/>
  <c r="J5" i="2"/>
  <c r="H5" i="2"/>
  <c r="H3" i="2" l="1"/>
  <c r="J7" i="2"/>
  <c r="H4" i="2"/>
  <c r="J4" i="2"/>
  <c r="H6" i="2"/>
  <c r="H35" i="1"/>
  <c r="J35" i="1"/>
  <c r="L35" i="1"/>
  <c r="N35" i="1"/>
  <c r="D35" i="1"/>
  <c r="F30" i="1"/>
  <c r="F23" i="1"/>
  <c r="H23" i="1" s="1"/>
  <c r="F15" i="1"/>
  <c r="F32" i="1"/>
  <c r="H32" i="1" s="1"/>
  <c r="L30" i="1"/>
  <c r="F21" i="1"/>
  <c r="L21" i="1" s="1"/>
  <c r="H21" i="1"/>
  <c r="L20" i="1"/>
  <c r="H20" i="1"/>
  <c r="J20" i="1"/>
  <c r="N20" i="1"/>
  <c r="F24" i="1"/>
  <c r="J24" i="1" s="1"/>
  <c r="N23" i="1"/>
  <c r="H6" i="1"/>
  <c r="H14" i="2" l="1"/>
  <c r="J14" i="2"/>
  <c r="N24" i="1"/>
  <c r="N21" i="1"/>
  <c r="J21" i="1"/>
  <c r="N32" i="1"/>
  <c r="L32" i="1"/>
  <c r="J32" i="1"/>
  <c r="N30" i="1"/>
  <c r="J30" i="1"/>
  <c r="H30" i="1"/>
  <c r="H24" i="1"/>
  <c r="L23" i="1"/>
  <c r="J23" i="1"/>
  <c r="L24" i="1"/>
  <c r="N6" i="1"/>
  <c r="L6" i="1"/>
  <c r="J6" i="1"/>
  <c r="F5" i="1"/>
  <c r="N5" i="1" s="1"/>
  <c r="F7" i="1"/>
  <c r="N7" i="1" s="1"/>
  <c r="F8" i="1"/>
  <c r="L8" i="1" s="1"/>
  <c r="F9" i="1"/>
  <c r="N9" i="1" s="1"/>
  <c r="F10" i="1"/>
  <c r="N10" i="1" s="1"/>
  <c r="F11" i="1"/>
  <c r="N11" i="1" s="1"/>
  <c r="F12" i="1"/>
  <c r="N12" i="1" s="1"/>
  <c r="F17" i="1"/>
  <c r="N17" i="1" s="1"/>
  <c r="F13" i="1"/>
  <c r="N13" i="1" s="1"/>
  <c r="F14" i="1"/>
  <c r="N14" i="1" s="1"/>
  <c r="F18" i="1"/>
  <c r="N18" i="1" s="1"/>
  <c r="F19" i="1"/>
  <c r="N19" i="1" s="1"/>
  <c r="F25" i="1"/>
  <c r="N25" i="1" s="1"/>
  <c r="F22" i="1"/>
  <c r="N22" i="1" s="1"/>
  <c r="F26" i="1"/>
  <c r="N26" i="1" s="1"/>
  <c r="F33" i="1"/>
  <c r="N33" i="1" s="1"/>
  <c r="F29" i="1"/>
  <c r="N29" i="1" s="1"/>
  <c r="F27" i="1"/>
  <c r="N27" i="1" s="1"/>
  <c r="F28" i="1"/>
  <c r="N28" i="1" s="1"/>
  <c r="F31" i="1"/>
  <c r="N31" i="1" s="1"/>
  <c r="F16" i="1"/>
  <c r="L16" i="1" s="1"/>
  <c r="L15" i="1"/>
  <c r="F4" i="1"/>
  <c r="L4" i="1" s="1"/>
  <c r="L19" i="1" l="1"/>
  <c r="N4" i="1"/>
  <c r="H18" i="1"/>
  <c r="J18" i="1"/>
  <c r="H11" i="1"/>
  <c r="J4" i="1"/>
  <c r="H10" i="1"/>
  <c r="J10" i="1"/>
  <c r="L11" i="1"/>
  <c r="H4" i="1"/>
  <c r="J11" i="1"/>
  <c r="L12" i="1"/>
  <c r="H26" i="1"/>
  <c r="H9" i="1"/>
  <c r="J9" i="1"/>
  <c r="L10" i="1"/>
  <c r="N15" i="1"/>
  <c r="H15" i="1"/>
  <c r="J15" i="1"/>
  <c r="J16" i="1"/>
  <c r="N16" i="1"/>
  <c r="H16" i="1"/>
  <c r="J31" i="1"/>
  <c r="H31" i="1"/>
  <c r="L31" i="1"/>
  <c r="J28" i="1"/>
  <c r="L28" i="1"/>
  <c r="H28" i="1"/>
  <c r="J27" i="1"/>
  <c r="H27" i="1"/>
  <c r="L27" i="1"/>
  <c r="L29" i="1"/>
  <c r="H29" i="1"/>
  <c r="J29" i="1"/>
  <c r="J33" i="1"/>
  <c r="H33" i="1"/>
  <c r="L33" i="1"/>
  <c r="J26" i="1"/>
  <c r="L26" i="1"/>
  <c r="J22" i="1"/>
  <c r="L22" i="1"/>
  <c r="H22" i="1"/>
  <c r="J25" i="1"/>
  <c r="L25" i="1"/>
  <c r="H25" i="1"/>
  <c r="H19" i="1"/>
  <c r="J19" i="1"/>
  <c r="L18" i="1"/>
  <c r="H14" i="1"/>
  <c r="J14" i="1"/>
  <c r="L14" i="1"/>
  <c r="J13" i="1"/>
  <c r="L13" i="1"/>
  <c r="H13" i="1"/>
  <c r="L17" i="1"/>
  <c r="J17" i="1"/>
  <c r="H17" i="1"/>
  <c r="H12" i="1"/>
  <c r="J12" i="1"/>
  <c r="L9" i="1"/>
  <c r="H8" i="1"/>
  <c r="N8" i="1"/>
  <c r="J8" i="1"/>
  <c r="J7" i="1"/>
  <c r="L7" i="1"/>
  <c r="H7" i="1"/>
  <c r="L5" i="1"/>
  <c r="J5" i="1"/>
  <c r="H5" i="1"/>
</calcChain>
</file>

<file path=xl/sharedStrings.xml><?xml version="1.0" encoding="utf-8"?>
<sst xmlns="http://schemas.openxmlformats.org/spreadsheetml/2006/main" count="131" uniqueCount="62">
  <si>
    <t>From</t>
  </si>
  <si>
    <t>To</t>
  </si>
  <si>
    <t>Price</t>
  </si>
  <si>
    <t>Date</t>
  </si>
  <si>
    <t>Qty</t>
  </si>
  <si>
    <t>Per</t>
  </si>
  <si>
    <t>Rangoon</t>
  </si>
  <si>
    <t>Kheti</t>
  </si>
  <si>
    <t>Bata</t>
  </si>
  <si>
    <t>Johar</t>
  </si>
  <si>
    <t>Price +2% per person</t>
  </si>
  <si>
    <t>HWH</t>
  </si>
  <si>
    <t>SC</t>
  </si>
  <si>
    <t>SMVT</t>
  </si>
  <si>
    <t>YPR</t>
  </si>
  <si>
    <t>MAS</t>
  </si>
  <si>
    <t>SMVB</t>
  </si>
  <si>
    <t>ADL</t>
  </si>
  <si>
    <t>CSMT</t>
  </si>
  <si>
    <t>MMCT</t>
  </si>
  <si>
    <t>ST</t>
  </si>
  <si>
    <t>ADI</t>
  </si>
  <si>
    <t>NGP</t>
  </si>
  <si>
    <t>KSR</t>
  </si>
  <si>
    <t>SHM</t>
  </si>
  <si>
    <t>SVKD</t>
  </si>
  <si>
    <t>Husain</t>
  </si>
  <si>
    <t>Kapadia</t>
  </si>
  <si>
    <t>SBC</t>
  </si>
  <si>
    <t>LTT</t>
  </si>
  <si>
    <t>BDTS</t>
  </si>
  <si>
    <t>BOM</t>
  </si>
  <si>
    <t>BLR</t>
  </si>
  <si>
    <t>CBE</t>
  </si>
  <si>
    <t>CSTM</t>
  </si>
  <si>
    <t xml:space="preserve">INFLUENZA VACCINE </t>
  </si>
  <si>
    <t>Price per person</t>
  </si>
  <si>
    <t>Khaala</t>
  </si>
  <si>
    <t>alifiya varas</t>
  </si>
  <si>
    <t>sarrah bhen vadaa</t>
  </si>
  <si>
    <t>Metro cash and carry</t>
  </si>
  <si>
    <t>(My 466 Cash -1730)</t>
  </si>
  <si>
    <t>Alifiya Ticket</t>
  </si>
  <si>
    <t>Airtel 50 GB  recharge</t>
  </si>
  <si>
    <t xml:space="preserve"> Watch Amazon</t>
  </si>
  <si>
    <t>watch Flipkart</t>
  </si>
  <si>
    <t>Airport Snacks</t>
  </si>
  <si>
    <t>MacD Ice Cream Bombay</t>
  </si>
  <si>
    <t>MacD Ice Cream Bangalore</t>
  </si>
  <si>
    <t>Amazon Cash As Amazon pay</t>
  </si>
  <si>
    <t>notebook</t>
  </si>
  <si>
    <t>reshma</t>
  </si>
  <si>
    <t>card</t>
  </si>
  <si>
    <t>ebill</t>
  </si>
  <si>
    <t>vc</t>
  </si>
  <si>
    <t>naj</t>
  </si>
  <si>
    <t>bal</t>
  </si>
  <si>
    <t>makhi</t>
  </si>
  <si>
    <t>himanshu</t>
  </si>
  <si>
    <t>travelling</t>
  </si>
  <si>
    <t>stationary</t>
  </si>
  <si>
    <t>khala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</si>
</sst>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₹-44B]#,##0.00"/>
    <numFmt numFmtId="165" formatCode="[$₹-458]\ #,##0.00"/>
    <numFmt numFmtId="166" formatCode="[$₹-44A]#,##0.00;\-[$₹-44A]#,##0.0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16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6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wrapText="1"/>
    </xf>
    <xf numFmtId="16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/>
    <xf numFmtId="16" fontId="2" fillId="0" borderId="0" xfId="0" applyNumberFormat="1" applyFont="1"/>
    <xf numFmtId="165" fontId="0" fillId="0" borderId="0" xfId="0" applyNumberFormat="1" applyAlignment="1">
      <alignment wrapText="1"/>
    </xf>
    <xf numFmtId="165" fontId="2" fillId="0" borderId="0" xfId="0" applyNumberFormat="1" applyFont="1" applyAlignment="1">
      <alignment wrapText="1"/>
    </xf>
    <xf numFmtId="165" fontId="2" fillId="0" borderId="0" xfId="0" applyNumberFormat="1" applyFont="1"/>
    <xf numFmtId="165" fontId="0" fillId="0" borderId="0" xfId="0" applyNumberFormat="1"/>
    <xf numFmtId="16" fontId="0" fillId="0" borderId="0" xfId="0" applyNumberFormat="1"/>
    <xf numFmtId="166" fontId="0" fillId="0" borderId="0" xfId="0" applyNumberFormat="1"/>
    <xf numFmtId="166" fontId="0" fillId="0" borderId="1" xfId="0" applyNumberFormat="1" applyBorder="1"/>
    <xf numFmtId="166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81E61-3C43-4C20-ACB7-D12AD6D4B0D6}">
  <dimension ref="A2:N35"/>
  <sheetViews>
    <sheetView workbookViewId="0">
      <pane ySplit="2" topLeftCell="A3" activePane="bottomLeft" state="frozen"/>
      <selection pane="bottomLeft" activeCell="A2" sqref="A2:N9"/>
    </sheetView>
  </sheetViews>
  <sheetFormatPr defaultRowHeight="14.4" x14ac:dyDescent="0.3"/>
  <cols>
    <col min="1" max="1" width="7" style="1" customWidth="1"/>
    <col min="2" max="2" width="6.33203125" style="1" customWidth="1"/>
    <col min="3" max="3" width="6" style="1" customWidth="1"/>
    <col min="4" max="4" width="9.88671875" style="3" customWidth="1"/>
    <col min="5" max="5" width="6.5546875" style="1" customWidth="1"/>
    <col min="6" max="6" width="10.109375" style="3" customWidth="1"/>
    <col min="7" max="7" width="4.109375" style="1" customWidth="1"/>
    <col min="8" max="8" width="11.109375" style="3" customWidth="1"/>
    <col min="9" max="9" width="4.6640625" style="1" customWidth="1"/>
    <col min="10" max="10" width="10.5546875" style="3" customWidth="1"/>
    <col min="11" max="11" width="4" style="1" customWidth="1"/>
    <col min="12" max="12" width="11.77734375" style="3" customWidth="1"/>
    <col min="13" max="13" width="4.5546875" style="1" customWidth="1"/>
    <col min="14" max="14" width="10.88671875" style="3" customWidth="1"/>
    <col min="15" max="16384" width="8.88671875" style="1"/>
  </cols>
  <sheetData>
    <row r="2" spans="1:14" ht="28.8" x14ac:dyDescent="0.3">
      <c r="A2" s="1" t="s">
        <v>3</v>
      </c>
      <c r="B2" s="1" t="s">
        <v>0</v>
      </c>
      <c r="C2" s="1" t="s">
        <v>1</v>
      </c>
      <c r="D2" s="3" t="s">
        <v>2</v>
      </c>
      <c r="E2" s="1" t="s">
        <v>4</v>
      </c>
      <c r="F2" s="3" t="s">
        <v>10</v>
      </c>
      <c r="G2" s="1" t="s">
        <v>5</v>
      </c>
      <c r="H2" s="3" t="s">
        <v>6</v>
      </c>
      <c r="I2" s="1" t="s">
        <v>5</v>
      </c>
      <c r="J2" s="3" t="s">
        <v>7</v>
      </c>
      <c r="K2" s="1" t="s">
        <v>5</v>
      </c>
      <c r="L2" s="3" t="s">
        <v>8</v>
      </c>
      <c r="M2" s="1" t="s">
        <v>5</v>
      </c>
      <c r="N2" s="3" t="s">
        <v>9</v>
      </c>
    </row>
    <row r="4" spans="1:14" x14ac:dyDescent="0.3">
      <c r="A4" s="2">
        <v>44834</v>
      </c>
      <c r="B4" s="1" t="s">
        <v>11</v>
      </c>
      <c r="C4" s="1" t="s">
        <v>12</v>
      </c>
      <c r="D4" s="3">
        <v>1770.4</v>
      </c>
      <c r="E4" s="1">
        <v>1</v>
      </c>
      <c r="F4" s="3">
        <f>D4*1.02/E4</f>
        <v>1805.8080000000002</v>
      </c>
      <c r="G4" s="1">
        <v>0</v>
      </c>
      <c r="H4" s="3">
        <f t="shared" ref="H4:H33" si="0">G4*F4</f>
        <v>0</v>
      </c>
      <c r="I4" s="1">
        <v>0</v>
      </c>
      <c r="J4" s="3">
        <f t="shared" ref="J4:J33" si="1">I4*F4</f>
        <v>0</v>
      </c>
      <c r="K4" s="1">
        <v>0</v>
      </c>
      <c r="L4" s="3">
        <f t="shared" ref="L4:L33" si="2">K4*F4</f>
        <v>0</v>
      </c>
      <c r="M4" s="1">
        <v>1</v>
      </c>
      <c r="N4" s="3">
        <f t="shared" ref="N4:N33" si="3">M4*F4</f>
        <v>1805.8080000000002</v>
      </c>
    </row>
    <row r="5" spans="1:14" x14ac:dyDescent="0.3">
      <c r="A5" s="2">
        <v>44834</v>
      </c>
      <c r="B5" s="1" t="s">
        <v>11</v>
      </c>
      <c r="C5" s="1" t="s">
        <v>13</v>
      </c>
      <c r="D5" s="3">
        <v>1577.7</v>
      </c>
      <c r="E5" s="1">
        <v>2</v>
      </c>
      <c r="F5" s="3">
        <f>D5*1.02/E5</f>
        <v>804.62700000000007</v>
      </c>
      <c r="G5" s="1">
        <v>2</v>
      </c>
      <c r="H5" s="3">
        <f t="shared" si="0"/>
        <v>1609.2540000000001</v>
      </c>
      <c r="J5" s="3">
        <f t="shared" si="1"/>
        <v>0</v>
      </c>
      <c r="L5" s="3">
        <f t="shared" si="2"/>
        <v>0</v>
      </c>
      <c r="N5" s="3">
        <f t="shared" si="3"/>
        <v>0</v>
      </c>
    </row>
    <row r="6" spans="1:14" s="5" customFormat="1" x14ac:dyDescent="0.3">
      <c r="A6" s="4">
        <v>44836</v>
      </c>
      <c r="B6" s="5" t="s">
        <v>11</v>
      </c>
      <c r="C6" s="5" t="s">
        <v>12</v>
      </c>
      <c r="D6" s="6">
        <v>-1670</v>
      </c>
      <c r="E6" s="5">
        <v>1</v>
      </c>
      <c r="F6" s="6">
        <v>-1670</v>
      </c>
      <c r="H6" s="6">
        <f t="shared" si="0"/>
        <v>0</v>
      </c>
      <c r="J6" s="6">
        <f t="shared" si="1"/>
        <v>0</v>
      </c>
      <c r="L6" s="6">
        <f t="shared" si="2"/>
        <v>0</v>
      </c>
      <c r="M6" s="5">
        <v>1</v>
      </c>
      <c r="N6" s="6">
        <f t="shared" si="3"/>
        <v>-1670</v>
      </c>
    </row>
    <row r="7" spans="1:14" s="5" customFormat="1" x14ac:dyDescent="0.3">
      <c r="A7" s="4">
        <v>44836</v>
      </c>
      <c r="B7" s="5" t="s">
        <v>11</v>
      </c>
      <c r="C7" s="5" t="s">
        <v>12</v>
      </c>
      <c r="D7" s="6">
        <v>1770.4</v>
      </c>
      <c r="E7" s="5">
        <v>1</v>
      </c>
      <c r="F7" s="6">
        <f t="shared" ref="F7:F14" si="4">D7*1.02/E7</f>
        <v>1805.8080000000002</v>
      </c>
      <c r="H7" s="6">
        <f t="shared" si="0"/>
        <v>0</v>
      </c>
      <c r="J7" s="6">
        <f t="shared" si="1"/>
        <v>0</v>
      </c>
      <c r="L7" s="6">
        <f t="shared" si="2"/>
        <v>0</v>
      </c>
      <c r="M7" s="5">
        <v>1</v>
      </c>
      <c r="N7" s="6">
        <f t="shared" si="3"/>
        <v>1805.8080000000002</v>
      </c>
    </row>
    <row r="8" spans="1:14" x14ac:dyDescent="0.3">
      <c r="A8" s="2">
        <v>44840</v>
      </c>
      <c r="B8" s="1" t="s">
        <v>14</v>
      </c>
      <c r="C8" s="1" t="s">
        <v>11</v>
      </c>
      <c r="D8" s="3">
        <v>1577.7</v>
      </c>
      <c r="E8" s="1">
        <v>2</v>
      </c>
      <c r="F8" s="3">
        <f t="shared" si="4"/>
        <v>804.62700000000007</v>
      </c>
      <c r="G8" s="1">
        <v>2</v>
      </c>
      <c r="H8" s="3">
        <f t="shared" si="0"/>
        <v>1609.2540000000001</v>
      </c>
      <c r="J8" s="3">
        <f t="shared" si="1"/>
        <v>0</v>
      </c>
      <c r="L8" s="3">
        <f t="shared" si="2"/>
        <v>0</v>
      </c>
      <c r="N8" s="3">
        <f t="shared" si="3"/>
        <v>0</v>
      </c>
    </row>
    <row r="9" spans="1:14" x14ac:dyDescent="0.3">
      <c r="A9" s="2">
        <v>44841</v>
      </c>
      <c r="B9" s="1" t="s">
        <v>15</v>
      </c>
      <c r="C9" s="1" t="s">
        <v>11</v>
      </c>
      <c r="D9" s="3">
        <v>1407</v>
      </c>
      <c r="E9" s="1">
        <v>2</v>
      </c>
      <c r="F9" s="3">
        <f t="shared" si="4"/>
        <v>717.57</v>
      </c>
      <c r="G9" s="1">
        <v>2</v>
      </c>
      <c r="H9" s="3">
        <f t="shared" si="0"/>
        <v>1435.14</v>
      </c>
      <c r="J9" s="3">
        <f t="shared" si="1"/>
        <v>0</v>
      </c>
      <c r="L9" s="3">
        <f t="shared" si="2"/>
        <v>0</v>
      </c>
      <c r="N9" s="3">
        <f t="shared" si="3"/>
        <v>0</v>
      </c>
    </row>
    <row r="10" spans="1:14" x14ac:dyDescent="0.3">
      <c r="A10" s="2">
        <v>44841</v>
      </c>
      <c r="B10" s="1" t="s">
        <v>16</v>
      </c>
      <c r="C10" s="1" t="s">
        <v>17</v>
      </c>
      <c r="D10" s="3">
        <v>1937.7</v>
      </c>
      <c r="E10" s="1">
        <v>2</v>
      </c>
      <c r="F10" s="3">
        <f t="shared" si="4"/>
        <v>988.22700000000009</v>
      </c>
      <c r="G10" s="1">
        <v>2</v>
      </c>
      <c r="H10" s="3">
        <f t="shared" si="0"/>
        <v>1976.4540000000002</v>
      </c>
      <c r="J10" s="3">
        <f t="shared" si="1"/>
        <v>0</v>
      </c>
      <c r="L10" s="3">
        <f t="shared" si="2"/>
        <v>0</v>
      </c>
      <c r="N10" s="3">
        <f t="shared" si="3"/>
        <v>0</v>
      </c>
    </row>
    <row r="11" spans="1:14" x14ac:dyDescent="0.3">
      <c r="A11" s="2">
        <v>44869</v>
      </c>
      <c r="B11" s="1" t="s">
        <v>11</v>
      </c>
      <c r="C11" s="1" t="s">
        <v>18</v>
      </c>
      <c r="D11" s="3">
        <v>797.7</v>
      </c>
      <c r="E11" s="1">
        <v>1</v>
      </c>
      <c r="F11" s="3">
        <f t="shared" si="4"/>
        <v>813.65400000000011</v>
      </c>
      <c r="H11" s="3">
        <f t="shared" si="0"/>
        <v>0</v>
      </c>
      <c r="I11" s="1">
        <v>1</v>
      </c>
      <c r="J11" s="3">
        <f t="shared" si="1"/>
        <v>813.65400000000011</v>
      </c>
      <c r="L11" s="3">
        <f t="shared" si="2"/>
        <v>0</v>
      </c>
      <c r="N11" s="3">
        <f t="shared" si="3"/>
        <v>0</v>
      </c>
    </row>
    <row r="12" spans="1:14" ht="28.8" x14ac:dyDescent="0.3">
      <c r="A12" s="2">
        <v>44871</v>
      </c>
      <c r="B12" s="1" t="s">
        <v>19</v>
      </c>
      <c r="C12" s="1" t="s">
        <v>20</v>
      </c>
      <c r="D12" s="3">
        <v>208.05</v>
      </c>
      <c r="E12" s="1">
        <v>1</v>
      </c>
      <c r="F12" s="3">
        <f t="shared" si="4"/>
        <v>212.21100000000001</v>
      </c>
      <c r="H12" s="3">
        <f t="shared" si="0"/>
        <v>0</v>
      </c>
      <c r="I12" s="1">
        <v>1</v>
      </c>
      <c r="J12" s="3">
        <f t="shared" si="1"/>
        <v>212.21100000000001</v>
      </c>
      <c r="L12" s="3">
        <f t="shared" si="2"/>
        <v>0</v>
      </c>
      <c r="N12" s="3">
        <f t="shared" si="3"/>
        <v>0</v>
      </c>
    </row>
    <row r="13" spans="1:14" x14ac:dyDescent="0.3">
      <c r="A13" s="2">
        <v>44880</v>
      </c>
      <c r="B13" s="1" t="s">
        <v>21</v>
      </c>
      <c r="C13" s="1" t="s">
        <v>11</v>
      </c>
      <c r="D13" s="3">
        <v>822.7</v>
      </c>
      <c r="E13" s="1">
        <v>1</v>
      </c>
      <c r="F13" s="3">
        <f t="shared" si="4"/>
        <v>839.15400000000011</v>
      </c>
      <c r="H13" s="3">
        <f t="shared" si="0"/>
        <v>0</v>
      </c>
      <c r="J13" s="3">
        <f t="shared" si="1"/>
        <v>0</v>
      </c>
      <c r="K13" s="1">
        <v>1</v>
      </c>
      <c r="L13" s="3">
        <f t="shared" si="2"/>
        <v>839.15400000000011</v>
      </c>
      <c r="N13" s="3">
        <f t="shared" si="3"/>
        <v>0</v>
      </c>
    </row>
    <row r="14" spans="1:14" x14ac:dyDescent="0.3">
      <c r="A14" s="2">
        <v>44880</v>
      </c>
      <c r="B14" s="1" t="s">
        <v>21</v>
      </c>
      <c r="C14" s="1" t="s">
        <v>11</v>
      </c>
      <c r="D14" s="3">
        <v>823.1</v>
      </c>
      <c r="E14" s="1">
        <v>1</v>
      </c>
      <c r="F14" s="3">
        <f t="shared" si="4"/>
        <v>839.56200000000001</v>
      </c>
      <c r="H14" s="3">
        <f t="shared" si="0"/>
        <v>0</v>
      </c>
      <c r="I14" s="1">
        <v>1</v>
      </c>
      <c r="J14" s="3">
        <f t="shared" si="1"/>
        <v>839.56200000000001</v>
      </c>
      <c r="L14" s="3">
        <f t="shared" si="2"/>
        <v>0</v>
      </c>
      <c r="N14" s="3">
        <f t="shared" si="3"/>
        <v>0</v>
      </c>
    </row>
    <row r="15" spans="1:14" x14ac:dyDescent="0.3">
      <c r="A15" s="4">
        <v>44880</v>
      </c>
      <c r="B15" s="5" t="s">
        <v>21</v>
      </c>
      <c r="C15" s="5" t="s">
        <v>11</v>
      </c>
      <c r="D15" s="6">
        <v>-2055</v>
      </c>
      <c r="E15" s="5">
        <v>3</v>
      </c>
      <c r="F15" s="6">
        <f>D15/E15</f>
        <v>-685</v>
      </c>
      <c r="G15" s="5">
        <v>1</v>
      </c>
      <c r="H15" s="6">
        <f t="shared" si="0"/>
        <v>-685</v>
      </c>
      <c r="I15" s="5">
        <v>1</v>
      </c>
      <c r="J15" s="6">
        <f t="shared" si="1"/>
        <v>-685</v>
      </c>
      <c r="K15" s="5">
        <v>1</v>
      </c>
      <c r="L15" s="6">
        <f t="shared" si="2"/>
        <v>-685</v>
      </c>
      <c r="M15" s="5"/>
      <c r="N15" s="6">
        <f t="shared" si="3"/>
        <v>0</v>
      </c>
    </row>
    <row r="16" spans="1:14" x14ac:dyDescent="0.3">
      <c r="A16" s="4">
        <v>44880</v>
      </c>
      <c r="B16" s="5" t="s">
        <v>21</v>
      </c>
      <c r="C16" s="5" t="s">
        <v>11</v>
      </c>
      <c r="D16" s="6">
        <v>2432.6999999999998</v>
      </c>
      <c r="E16" s="5">
        <v>3</v>
      </c>
      <c r="F16" s="6">
        <f>D16*1.02/E16</f>
        <v>827.11799999999994</v>
      </c>
      <c r="G16" s="5">
        <v>1</v>
      </c>
      <c r="H16" s="6">
        <f t="shared" si="0"/>
        <v>827.11799999999994</v>
      </c>
      <c r="I16" s="5">
        <v>1</v>
      </c>
      <c r="J16" s="6">
        <f t="shared" si="1"/>
        <v>827.11799999999994</v>
      </c>
      <c r="K16" s="5">
        <v>1</v>
      </c>
      <c r="L16" s="6">
        <f t="shared" si="2"/>
        <v>827.11799999999994</v>
      </c>
      <c r="M16" s="5"/>
      <c r="N16" s="6">
        <f t="shared" si="3"/>
        <v>0</v>
      </c>
    </row>
    <row r="17" spans="1:14" x14ac:dyDescent="0.3">
      <c r="A17" s="2">
        <v>44880</v>
      </c>
      <c r="B17" s="1" t="s">
        <v>20</v>
      </c>
      <c r="C17" s="1" t="s">
        <v>11</v>
      </c>
      <c r="D17" s="3">
        <v>767.7</v>
      </c>
      <c r="E17" s="1">
        <v>1</v>
      </c>
      <c r="F17" s="3">
        <f>D17*1.02/E17</f>
        <v>783.05400000000009</v>
      </c>
      <c r="G17" s="1">
        <v>1</v>
      </c>
      <c r="H17" s="3">
        <f t="shared" si="0"/>
        <v>783.05400000000009</v>
      </c>
      <c r="J17" s="3">
        <f t="shared" si="1"/>
        <v>0</v>
      </c>
      <c r="L17" s="3">
        <f t="shared" si="2"/>
        <v>0</v>
      </c>
      <c r="N17" s="3">
        <f t="shared" si="3"/>
        <v>0</v>
      </c>
    </row>
    <row r="18" spans="1:14" x14ac:dyDescent="0.3">
      <c r="A18" s="2">
        <v>44911</v>
      </c>
      <c r="B18" s="1" t="s">
        <v>11</v>
      </c>
      <c r="C18" s="1" t="s">
        <v>22</v>
      </c>
      <c r="D18" s="3">
        <v>572.70000000000005</v>
      </c>
      <c r="E18" s="1">
        <v>1</v>
      </c>
      <c r="F18" s="3">
        <f>D18*1.02/E18</f>
        <v>584.15400000000011</v>
      </c>
      <c r="G18" s="1">
        <v>1</v>
      </c>
      <c r="H18" s="3">
        <f t="shared" si="0"/>
        <v>584.15400000000011</v>
      </c>
      <c r="J18" s="3">
        <f t="shared" si="1"/>
        <v>0</v>
      </c>
      <c r="L18" s="3">
        <f t="shared" si="2"/>
        <v>0</v>
      </c>
      <c r="N18" s="3">
        <f t="shared" si="3"/>
        <v>0</v>
      </c>
    </row>
    <row r="19" spans="1:14" x14ac:dyDescent="0.3">
      <c r="A19" s="2">
        <v>44918</v>
      </c>
      <c r="B19" s="1" t="s">
        <v>23</v>
      </c>
      <c r="C19" s="1" t="s">
        <v>21</v>
      </c>
      <c r="D19" s="3">
        <v>702.7</v>
      </c>
      <c r="E19" s="1">
        <v>1</v>
      </c>
      <c r="F19" s="3">
        <f>D19*1.02/E19</f>
        <v>716.75400000000002</v>
      </c>
      <c r="G19" s="1">
        <v>1</v>
      </c>
      <c r="H19" s="3">
        <f t="shared" si="0"/>
        <v>716.75400000000002</v>
      </c>
      <c r="J19" s="3">
        <f t="shared" si="1"/>
        <v>0</v>
      </c>
      <c r="L19" s="3">
        <f t="shared" si="2"/>
        <v>0</v>
      </c>
      <c r="N19" s="3">
        <f t="shared" si="3"/>
        <v>0</v>
      </c>
    </row>
    <row r="20" spans="1:14" x14ac:dyDescent="0.3">
      <c r="A20" s="4">
        <v>44918</v>
      </c>
      <c r="B20" s="5" t="s">
        <v>24</v>
      </c>
      <c r="C20" s="5" t="s">
        <v>21</v>
      </c>
      <c r="D20" s="6">
        <v>-685</v>
      </c>
      <c r="E20" s="5">
        <v>1</v>
      </c>
      <c r="F20" s="6">
        <v>-685</v>
      </c>
      <c r="G20" s="5"/>
      <c r="H20" s="6">
        <f t="shared" si="0"/>
        <v>0</v>
      </c>
      <c r="I20" s="5">
        <v>1</v>
      </c>
      <c r="J20" s="6">
        <f t="shared" si="1"/>
        <v>-685</v>
      </c>
      <c r="K20" s="5"/>
      <c r="L20" s="6">
        <f t="shared" si="2"/>
        <v>0</v>
      </c>
      <c r="M20" s="5"/>
      <c r="N20" s="6">
        <f t="shared" si="3"/>
        <v>0</v>
      </c>
    </row>
    <row r="21" spans="1:14" x14ac:dyDescent="0.3">
      <c r="A21" s="4">
        <v>44918</v>
      </c>
      <c r="B21" s="5" t="s">
        <v>24</v>
      </c>
      <c r="C21" s="5" t="s">
        <v>21</v>
      </c>
      <c r="D21" s="6">
        <v>822.7</v>
      </c>
      <c r="E21" s="5">
        <v>1</v>
      </c>
      <c r="F21" s="6">
        <f>D21*1.02/E21</f>
        <v>839.15400000000011</v>
      </c>
      <c r="G21" s="5"/>
      <c r="H21" s="6">
        <f t="shared" si="0"/>
        <v>0</v>
      </c>
      <c r="I21" s="5">
        <v>1</v>
      </c>
      <c r="J21" s="6">
        <f t="shared" si="1"/>
        <v>839.15400000000011</v>
      </c>
      <c r="K21" s="5"/>
      <c r="L21" s="6">
        <f t="shared" si="2"/>
        <v>0</v>
      </c>
      <c r="M21" s="5"/>
      <c r="N21" s="6">
        <f t="shared" si="3"/>
        <v>0</v>
      </c>
    </row>
    <row r="22" spans="1:14" x14ac:dyDescent="0.3">
      <c r="A22" s="2">
        <v>44918</v>
      </c>
      <c r="B22" s="1" t="s">
        <v>24</v>
      </c>
      <c r="C22" s="1" t="s">
        <v>21</v>
      </c>
      <c r="D22" s="3">
        <v>4042.7</v>
      </c>
      <c r="E22" s="1">
        <v>5</v>
      </c>
      <c r="F22" s="3">
        <f>D22*1.02/E22</f>
        <v>824.71080000000006</v>
      </c>
      <c r="G22" s="1">
        <v>3</v>
      </c>
      <c r="H22" s="3">
        <f t="shared" si="0"/>
        <v>2474.1324000000004</v>
      </c>
      <c r="J22" s="3">
        <f t="shared" si="1"/>
        <v>0</v>
      </c>
      <c r="K22" s="1">
        <v>2</v>
      </c>
      <c r="L22" s="3">
        <f t="shared" si="2"/>
        <v>1649.4216000000001</v>
      </c>
      <c r="N22" s="3">
        <f t="shared" si="3"/>
        <v>0</v>
      </c>
    </row>
    <row r="23" spans="1:14" x14ac:dyDescent="0.3">
      <c r="A23" s="4">
        <v>44918</v>
      </c>
      <c r="B23" s="5" t="s">
        <v>24</v>
      </c>
      <c r="C23" s="5" t="s">
        <v>21</v>
      </c>
      <c r="D23" s="6">
        <v>-3775</v>
      </c>
      <c r="E23" s="5">
        <v>6</v>
      </c>
      <c r="F23" s="6">
        <f>D23*1/E23</f>
        <v>-629.16666666666663</v>
      </c>
      <c r="G23" s="5"/>
      <c r="H23" s="6">
        <f t="shared" si="0"/>
        <v>0</v>
      </c>
      <c r="I23" s="5">
        <v>6</v>
      </c>
      <c r="J23" s="6">
        <f t="shared" si="1"/>
        <v>-3775</v>
      </c>
      <c r="K23" s="5"/>
      <c r="L23" s="6">
        <f t="shared" si="2"/>
        <v>0</v>
      </c>
      <c r="M23" s="5"/>
      <c r="N23" s="6">
        <f t="shared" si="3"/>
        <v>0</v>
      </c>
    </row>
    <row r="24" spans="1:14" x14ac:dyDescent="0.3">
      <c r="A24" s="4">
        <v>44918</v>
      </c>
      <c r="B24" s="5" t="s">
        <v>24</v>
      </c>
      <c r="C24" s="5" t="s">
        <v>21</v>
      </c>
      <c r="D24" s="6">
        <v>4452.7</v>
      </c>
      <c r="E24" s="5">
        <v>6</v>
      </c>
      <c r="F24" s="6">
        <f t="shared" ref="F24:F29" si="5">D24*1.02/E24</f>
        <v>756.95899999999995</v>
      </c>
      <c r="G24" s="5"/>
      <c r="H24" s="6">
        <f t="shared" si="0"/>
        <v>0</v>
      </c>
      <c r="I24" s="5">
        <v>6</v>
      </c>
      <c r="J24" s="6">
        <f t="shared" si="1"/>
        <v>4541.7539999999999</v>
      </c>
      <c r="K24" s="5"/>
      <c r="L24" s="6">
        <f t="shared" si="2"/>
        <v>0</v>
      </c>
      <c r="M24" s="5"/>
      <c r="N24" s="6">
        <f t="shared" si="3"/>
        <v>0</v>
      </c>
    </row>
    <row r="25" spans="1:14" x14ac:dyDescent="0.3">
      <c r="A25" s="2">
        <v>44918</v>
      </c>
      <c r="B25" s="1" t="s">
        <v>24</v>
      </c>
      <c r="C25" s="1" t="s">
        <v>21</v>
      </c>
      <c r="D25" s="3">
        <v>4847.7</v>
      </c>
      <c r="E25" s="1">
        <v>6</v>
      </c>
      <c r="F25" s="3">
        <f t="shared" si="5"/>
        <v>824.10899999999992</v>
      </c>
      <c r="H25" s="3">
        <f t="shared" si="0"/>
        <v>0</v>
      </c>
      <c r="I25" s="1">
        <v>6</v>
      </c>
      <c r="J25" s="3">
        <f t="shared" si="1"/>
        <v>4944.6539999999995</v>
      </c>
      <c r="L25" s="3">
        <f t="shared" si="2"/>
        <v>0</v>
      </c>
      <c r="N25" s="3">
        <f t="shared" si="3"/>
        <v>0</v>
      </c>
    </row>
    <row r="26" spans="1:14" s="5" customFormat="1" x14ac:dyDescent="0.3">
      <c r="A26" s="2">
        <v>44919</v>
      </c>
      <c r="B26" s="1" t="s">
        <v>22</v>
      </c>
      <c r="C26" s="1" t="s">
        <v>21</v>
      </c>
      <c r="D26" s="3">
        <v>517.70000000000005</v>
      </c>
      <c r="E26" s="1">
        <v>1</v>
      </c>
      <c r="F26" s="3">
        <f t="shared" si="5"/>
        <v>528.05400000000009</v>
      </c>
      <c r="G26" s="1">
        <v>1</v>
      </c>
      <c r="H26" s="3">
        <f t="shared" si="0"/>
        <v>528.05400000000009</v>
      </c>
      <c r="I26" s="1"/>
      <c r="J26" s="3">
        <f t="shared" si="1"/>
        <v>0</v>
      </c>
      <c r="K26" s="1"/>
      <c r="L26" s="3">
        <f t="shared" si="2"/>
        <v>0</v>
      </c>
      <c r="M26" s="1"/>
      <c r="N26" s="3">
        <f t="shared" si="3"/>
        <v>0</v>
      </c>
    </row>
    <row r="27" spans="1:14" s="5" customFormat="1" x14ac:dyDescent="0.3">
      <c r="A27" s="2">
        <v>44923</v>
      </c>
      <c r="B27" s="1" t="s">
        <v>21</v>
      </c>
      <c r="C27" s="1" t="s">
        <v>25</v>
      </c>
      <c r="D27" s="3">
        <v>1325.4</v>
      </c>
      <c r="E27" s="1">
        <v>2</v>
      </c>
      <c r="F27" s="3">
        <f t="shared" si="5"/>
        <v>675.95400000000006</v>
      </c>
      <c r="G27" s="1"/>
      <c r="H27" s="3">
        <f t="shared" si="0"/>
        <v>0</v>
      </c>
      <c r="I27" s="1">
        <v>2</v>
      </c>
      <c r="J27" s="3">
        <f t="shared" si="1"/>
        <v>1351.9080000000001</v>
      </c>
      <c r="K27" s="1"/>
      <c r="L27" s="3">
        <f t="shared" si="2"/>
        <v>0</v>
      </c>
      <c r="M27" s="1"/>
      <c r="N27" s="3">
        <f t="shared" si="3"/>
        <v>0</v>
      </c>
    </row>
    <row r="28" spans="1:14" s="5" customFormat="1" x14ac:dyDescent="0.3">
      <c r="A28" s="2">
        <v>44924</v>
      </c>
      <c r="B28" s="1" t="s">
        <v>25</v>
      </c>
      <c r="C28" s="1" t="s">
        <v>21</v>
      </c>
      <c r="D28" s="3">
        <v>1325.4</v>
      </c>
      <c r="E28" s="1">
        <v>2</v>
      </c>
      <c r="F28" s="3">
        <f t="shared" si="5"/>
        <v>675.95400000000006</v>
      </c>
      <c r="G28" s="1"/>
      <c r="H28" s="3">
        <f t="shared" si="0"/>
        <v>0</v>
      </c>
      <c r="I28" s="1">
        <v>2</v>
      </c>
      <c r="J28" s="3">
        <f t="shared" si="1"/>
        <v>1351.9080000000001</v>
      </c>
      <c r="K28" s="1"/>
      <c r="L28" s="3">
        <f t="shared" si="2"/>
        <v>0</v>
      </c>
      <c r="M28" s="1"/>
      <c r="N28" s="3">
        <f t="shared" si="3"/>
        <v>0</v>
      </c>
    </row>
    <row r="29" spans="1:14" s="5" customFormat="1" x14ac:dyDescent="0.3">
      <c r="A29" s="2">
        <v>44926</v>
      </c>
      <c r="B29" s="1" t="s">
        <v>21</v>
      </c>
      <c r="C29" s="1" t="s">
        <v>11</v>
      </c>
      <c r="D29" s="3">
        <v>3237.7</v>
      </c>
      <c r="E29" s="1">
        <v>4</v>
      </c>
      <c r="F29" s="3">
        <f t="shared" si="5"/>
        <v>825.61349999999993</v>
      </c>
      <c r="G29" s="1">
        <v>4</v>
      </c>
      <c r="H29" s="3">
        <f t="shared" si="0"/>
        <v>3302.4539999999997</v>
      </c>
      <c r="I29" s="1"/>
      <c r="J29" s="3">
        <f t="shared" si="1"/>
        <v>0</v>
      </c>
      <c r="K29" s="1"/>
      <c r="L29" s="3">
        <f t="shared" si="2"/>
        <v>0</v>
      </c>
      <c r="M29" s="1"/>
      <c r="N29" s="3">
        <f t="shared" si="3"/>
        <v>0</v>
      </c>
    </row>
    <row r="30" spans="1:14" s="5" customFormat="1" x14ac:dyDescent="0.3">
      <c r="A30" s="4">
        <v>44926</v>
      </c>
      <c r="B30" s="5" t="s">
        <v>21</v>
      </c>
      <c r="C30" s="5" t="s">
        <v>11</v>
      </c>
      <c r="D30" s="6">
        <v>-4110</v>
      </c>
      <c r="E30" s="5">
        <v>6</v>
      </c>
      <c r="F30" s="6">
        <f>D30*1/E30</f>
        <v>-685</v>
      </c>
      <c r="H30" s="6">
        <f t="shared" si="0"/>
        <v>0</v>
      </c>
      <c r="I30" s="5">
        <v>6</v>
      </c>
      <c r="J30" s="6">
        <f t="shared" si="1"/>
        <v>-4110</v>
      </c>
      <c r="L30" s="6">
        <f t="shared" si="2"/>
        <v>0</v>
      </c>
      <c r="N30" s="6">
        <f t="shared" si="3"/>
        <v>0</v>
      </c>
    </row>
    <row r="31" spans="1:14" s="5" customFormat="1" x14ac:dyDescent="0.3">
      <c r="A31" s="2">
        <v>44926</v>
      </c>
      <c r="B31" s="1" t="s">
        <v>21</v>
      </c>
      <c r="C31" s="1" t="s">
        <v>11</v>
      </c>
      <c r="D31" s="3">
        <v>4847</v>
      </c>
      <c r="E31" s="1">
        <v>6</v>
      </c>
      <c r="F31" s="3">
        <f>D31*1.02/E31</f>
        <v>823.99000000000012</v>
      </c>
      <c r="G31" s="1"/>
      <c r="H31" s="3">
        <f t="shared" si="0"/>
        <v>0</v>
      </c>
      <c r="I31" s="1">
        <v>6</v>
      </c>
      <c r="J31" s="3">
        <f t="shared" si="1"/>
        <v>4943.9400000000005</v>
      </c>
      <c r="K31" s="1"/>
      <c r="L31" s="3">
        <f t="shared" si="2"/>
        <v>0</v>
      </c>
      <c r="M31" s="1"/>
      <c r="N31" s="3">
        <f t="shared" si="3"/>
        <v>0</v>
      </c>
    </row>
    <row r="32" spans="1:14" s="5" customFormat="1" x14ac:dyDescent="0.3">
      <c r="A32" s="4">
        <v>44926</v>
      </c>
      <c r="B32" s="5" t="s">
        <v>21</v>
      </c>
      <c r="C32" s="5" t="s">
        <v>11</v>
      </c>
      <c r="D32" s="6">
        <v>4847</v>
      </c>
      <c r="E32" s="5">
        <v>6</v>
      </c>
      <c r="F32" s="6">
        <f>D32*1.02/E32</f>
        <v>823.99000000000012</v>
      </c>
      <c r="H32" s="6">
        <f t="shared" si="0"/>
        <v>0</v>
      </c>
      <c r="I32" s="5">
        <v>6</v>
      </c>
      <c r="J32" s="6">
        <f t="shared" si="1"/>
        <v>4943.9400000000005</v>
      </c>
      <c r="L32" s="6">
        <f t="shared" si="2"/>
        <v>0</v>
      </c>
      <c r="N32" s="6">
        <f t="shared" si="3"/>
        <v>0</v>
      </c>
    </row>
    <row r="33" spans="1:14" s="5" customFormat="1" x14ac:dyDescent="0.3">
      <c r="A33" s="2">
        <v>44926</v>
      </c>
      <c r="B33" s="1" t="s">
        <v>21</v>
      </c>
      <c r="C33" s="1" t="s">
        <v>23</v>
      </c>
      <c r="D33" s="3">
        <v>682.7</v>
      </c>
      <c r="E33" s="1">
        <v>1</v>
      </c>
      <c r="F33" s="3">
        <f>D33*1.02/E33</f>
        <v>696.35400000000004</v>
      </c>
      <c r="G33" s="1">
        <v>1</v>
      </c>
      <c r="H33" s="3">
        <f t="shared" si="0"/>
        <v>696.35400000000004</v>
      </c>
      <c r="I33" s="1"/>
      <c r="J33" s="3">
        <f t="shared" si="1"/>
        <v>0</v>
      </c>
      <c r="K33" s="1"/>
      <c r="L33" s="3">
        <f t="shared" si="2"/>
        <v>0</v>
      </c>
      <c r="M33" s="1"/>
      <c r="N33" s="3">
        <f t="shared" si="3"/>
        <v>0</v>
      </c>
    </row>
    <row r="35" spans="1:14" x14ac:dyDescent="0.3">
      <c r="D35" s="3">
        <f>SUM(D4:D34)</f>
        <v>35821.950000000012</v>
      </c>
      <c r="E35" s="3"/>
      <c r="G35" s="3"/>
      <c r="H35" s="3">
        <f t="shared" ref="H35:N35" si="6">SUM(H4:H34)</f>
        <v>15857.176400000002</v>
      </c>
      <c r="I35" s="3"/>
      <c r="J35" s="3">
        <f t="shared" si="6"/>
        <v>16354.803</v>
      </c>
      <c r="K35" s="3"/>
      <c r="L35" s="3">
        <f t="shared" si="6"/>
        <v>2630.6936000000001</v>
      </c>
      <c r="M35" s="3"/>
      <c r="N35" s="3">
        <f t="shared" si="6"/>
        <v>1941.6160000000004</v>
      </c>
    </row>
  </sheetData>
  <sortState ref="A4:N35">
    <sortCondition ref="A4:A35"/>
    <sortCondition ref="B4:B35"/>
    <sortCondition ref="C4:C35"/>
    <sortCondition ref="E4:E35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466B7-8F6E-494B-B6E9-7C337E2D1BBE}">
  <dimension ref="A1:N75"/>
  <sheetViews>
    <sheetView tabSelected="1" zoomScale="105" workbookViewId="0">
      <selection activeCell="D23" sqref="D23"/>
    </sheetView>
  </sheetViews>
  <sheetFormatPr defaultRowHeight="14.4" x14ac:dyDescent="0.3"/>
  <cols>
    <col min="2" max="2" width="7.33203125" customWidth="1"/>
    <col min="3" max="3" width="11.33203125" customWidth="1"/>
    <col min="4" max="4" width="14.44140625" style="15" customWidth="1"/>
    <col min="5" max="5" width="6.5546875" customWidth="1"/>
    <col min="6" max="6" width="10.77734375" style="15" customWidth="1"/>
    <col min="7" max="7" width="5.109375" customWidth="1"/>
    <col min="8" max="8" width="11.109375" style="15" customWidth="1"/>
    <col min="9" max="9" width="4.6640625" customWidth="1"/>
    <col min="10" max="10" width="11.109375" style="15" customWidth="1"/>
  </cols>
  <sheetData>
    <row r="1" spans="1:14" ht="28.8" x14ac:dyDescent="0.3">
      <c r="A1" s="1" t="s">
        <v>3</v>
      </c>
      <c r="B1" s="1" t="s">
        <v>0</v>
      </c>
      <c r="C1" s="1" t="s">
        <v>1</v>
      </c>
      <c r="D1" s="12" t="s">
        <v>2</v>
      </c>
      <c r="E1" s="1" t="s">
        <v>4</v>
      </c>
      <c r="F1" s="12" t="s">
        <v>36</v>
      </c>
      <c r="G1" s="1" t="s">
        <v>5</v>
      </c>
      <c r="H1" s="12" t="s">
        <v>26</v>
      </c>
      <c r="I1" s="1" t="s">
        <v>5</v>
      </c>
      <c r="J1" s="12" t="s">
        <v>27</v>
      </c>
      <c r="K1" s="1"/>
      <c r="L1" s="3"/>
      <c r="M1" s="1"/>
      <c r="N1" s="3"/>
    </row>
    <row r="2" spans="1:14" x14ac:dyDescent="0.3">
      <c r="A2" s="1"/>
      <c r="B2" s="1"/>
      <c r="C2" s="1"/>
      <c r="D2" s="12"/>
      <c r="E2" s="1"/>
      <c r="F2" s="12"/>
      <c r="G2" s="1"/>
      <c r="H2" s="12"/>
      <c r="I2" s="1"/>
      <c r="J2" s="12"/>
      <c r="K2" s="1"/>
      <c r="L2" s="3"/>
      <c r="M2" s="1"/>
      <c r="N2" s="3"/>
    </row>
    <row r="3" spans="1:14" x14ac:dyDescent="0.3">
      <c r="A3" s="7">
        <v>44841</v>
      </c>
      <c r="B3" s="8" t="s">
        <v>28</v>
      </c>
      <c r="C3" s="8" t="s">
        <v>29</v>
      </c>
      <c r="D3" s="13">
        <v>1181</v>
      </c>
      <c r="E3" s="8">
        <v>2</v>
      </c>
      <c r="F3" s="13">
        <f>D3/E3</f>
        <v>590.5</v>
      </c>
      <c r="G3" s="8">
        <v>1</v>
      </c>
      <c r="H3" s="13">
        <f>G3*F3</f>
        <v>590.5</v>
      </c>
      <c r="I3" s="8">
        <v>1</v>
      </c>
      <c r="J3" s="13">
        <f>I3*F3</f>
        <v>590.5</v>
      </c>
      <c r="K3" s="1"/>
      <c r="L3" s="3"/>
      <c r="M3" s="1"/>
      <c r="N3" s="3"/>
    </row>
    <row r="4" spans="1:14" x14ac:dyDescent="0.3">
      <c r="A4" s="7">
        <v>44871</v>
      </c>
      <c r="B4" s="8" t="s">
        <v>19</v>
      </c>
      <c r="C4" s="8" t="s">
        <v>20</v>
      </c>
      <c r="D4" s="13">
        <v>233</v>
      </c>
      <c r="E4" s="8">
        <v>1</v>
      </c>
      <c r="F4" s="13">
        <f>D4/E4</f>
        <v>233</v>
      </c>
      <c r="G4" s="8">
        <v>0</v>
      </c>
      <c r="H4" s="13">
        <f>G4*F4</f>
        <v>0</v>
      </c>
      <c r="I4" s="8">
        <v>1</v>
      </c>
      <c r="J4" s="13">
        <f>I4*F4</f>
        <v>233</v>
      </c>
      <c r="K4" s="1"/>
      <c r="L4" s="3"/>
      <c r="M4" s="1"/>
      <c r="N4" s="3"/>
    </row>
    <row r="5" spans="1:14" x14ac:dyDescent="0.3">
      <c r="A5" s="7">
        <v>44879</v>
      </c>
      <c r="B5" s="8" t="s">
        <v>20</v>
      </c>
      <c r="C5" s="8" t="s">
        <v>30</v>
      </c>
      <c r="D5" s="13">
        <v>1404</v>
      </c>
      <c r="E5" s="8">
        <v>3</v>
      </c>
      <c r="F5" s="13">
        <f>D5/E5</f>
        <v>468</v>
      </c>
      <c r="G5" s="8">
        <v>1</v>
      </c>
      <c r="H5" s="13">
        <f>G5*F5</f>
        <v>468</v>
      </c>
      <c r="I5" s="8">
        <v>2</v>
      </c>
      <c r="J5" s="13">
        <f>I5*F5</f>
        <v>936</v>
      </c>
      <c r="K5" s="5"/>
      <c r="L5" s="6"/>
      <c r="M5" s="5"/>
      <c r="N5" s="6"/>
    </row>
    <row r="6" spans="1:14" x14ac:dyDescent="0.3">
      <c r="A6" s="7">
        <v>44879</v>
      </c>
      <c r="B6" s="8" t="s">
        <v>29</v>
      </c>
      <c r="C6" s="8" t="s">
        <v>28</v>
      </c>
      <c r="D6" s="13">
        <v>1599</v>
      </c>
      <c r="E6" s="8">
        <v>3</v>
      </c>
      <c r="F6" s="13">
        <f>D6/E6</f>
        <v>533</v>
      </c>
      <c r="G6" s="8">
        <v>1</v>
      </c>
      <c r="H6" s="13">
        <f>G6*F6</f>
        <v>533</v>
      </c>
      <c r="I6" s="8">
        <v>2</v>
      </c>
      <c r="J6" s="13">
        <f>I6*F6</f>
        <v>1066</v>
      </c>
      <c r="K6" s="5"/>
      <c r="L6" s="6"/>
      <c r="M6" s="5"/>
      <c r="N6" s="6"/>
    </row>
    <row r="7" spans="1:14" x14ac:dyDescent="0.3">
      <c r="A7" s="7">
        <v>44846</v>
      </c>
      <c r="B7" s="8" t="s">
        <v>31</v>
      </c>
      <c r="C7" s="8" t="s">
        <v>32</v>
      </c>
      <c r="D7" s="13">
        <f>1283*2</f>
        <v>2566</v>
      </c>
      <c r="E7" s="8">
        <v>2</v>
      </c>
      <c r="F7" s="13">
        <f>D7/E7</f>
        <v>1283</v>
      </c>
      <c r="G7" s="8">
        <v>1</v>
      </c>
      <c r="H7" s="13">
        <f>G7*F7</f>
        <v>1283</v>
      </c>
      <c r="I7" s="8">
        <v>1</v>
      </c>
      <c r="J7" s="13">
        <f>I7*F7</f>
        <v>1283</v>
      </c>
      <c r="K7" s="1"/>
      <c r="L7" s="3"/>
      <c r="M7" s="1"/>
      <c r="N7" s="3"/>
    </row>
    <row r="8" spans="1:14" x14ac:dyDescent="0.3">
      <c r="A8" s="11">
        <v>44827</v>
      </c>
      <c r="B8" s="10" t="s">
        <v>33</v>
      </c>
      <c r="C8" s="9" t="s">
        <v>29</v>
      </c>
      <c r="D8" s="14">
        <v>668</v>
      </c>
      <c r="E8" s="9">
        <v>1</v>
      </c>
      <c r="F8" s="13">
        <f t="shared" ref="F8:F12" si="0">D8/E8</f>
        <v>668</v>
      </c>
      <c r="G8" s="9">
        <v>0</v>
      </c>
      <c r="H8" s="13">
        <f t="shared" ref="H8:H12" si="1">G8*F8</f>
        <v>0</v>
      </c>
      <c r="I8" s="9">
        <v>1</v>
      </c>
      <c r="J8" s="13">
        <f t="shared" ref="J8:J11" si="2">I8*F8</f>
        <v>668</v>
      </c>
    </row>
    <row r="9" spans="1:14" x14ac:dyDescent="0.3">
      <c r="A9" s="11">
        <v>44851</v>
      </c>
      <c r="B9" s="10" t="s">
        <v>34</v>
      </c>
      <c r="C9" s="9" t="s">
        <v>20</v>
      </c>
      <c r="D9" s="14">
        <v>585</v>
      </c>
      <c r="E9" s="9">
        <v>1</v>
      </c>
      <c r="F9" s="13">
        <f t="shared" si="0"/>
        <v>585</v>
      </c>
      <c r="G9" s="9">
        <v>0</v>
      </c>
      <c r="H9" s="13">
        <f t="shared" si="1"/>
        <v>0</v>
      </c>
      <c r="I9" s="9">
        <v>1</v>
      </c>
      <c r="J9" s="13">
        <f t="shared" si="2"/>
        <v>585</v>
      </c>
    </row>
    <row r="10" spans="1:14" x14ac:dyDescent="0.3">
      <c r="A10" s="16">
        <v>44854</v>
      </c>
      <c r="B10" s="10" t="s">
        <v>32</v>
      </c>
      <c r="C10" s="9" t="s">
        <v>31</v>
      </c>
      <c r="D10" s="15">
        <f>1494*3</f>
        <v>4482</v>
      </c>
      <c r="E10" s="9">
        <v>3</v>
      </c>
      <c r="F10" s="13">
        <f t="shared" si="0"/>
        <v>1494</v>
      </c>
      <c r="G10" s="9">
        <v>1</v>
      </c>
      <c r="H10" s="13">
        <f t="shared" si="1"/>
        <v>1494</v>
      </c>
      <c r="I10" s="9">
        <v>2</v>
      </c>
      <c r="J10" s="13">
        <f t="shared" si="2"/>
        <v>2988</v>
      </c>
    </row>
    <row r="11" spans="1:14" x14ac:dyDescent="0.3">
      <c r="B11" s="10" t="s">
        <v>35</v>
      </c>
      <c r="D11" s="15">
        <v>2550</v>
      </c>
      <c r="E11" s="9">
        <v>3</v>
      </c>
      <c r="F11" s="13">
        <f t="shared" si="0"/>
        <v>850</v>
      </c>
      <c r="G11">
        <v>1</v>
      </c>
      <c r="H11" s="13">
        <f t="shared" si="1"/>
        <v>850</v>
      </c>
      <c r="I11">
        <v>2</v>
      </c>
      <c r="J11" s="13">
        <f t="shared" si="2"/>
        <v>1700</v>
      </c>
    </row>
    <row r="12" spans="1:14" x14ac:dyDescent="0.3">
      <c r="B12" s="10" t="s">
        <v>37</v>
      </c>
      <c r="D12" s="15">
        <v>1400</v>
      </c>
      <c r="E12" s="9">
        <v>2</v>
      </c>
      <c r="F12" s="15">
        <f t="shared" si="0"/>
        <v>700</v>
      </c>
      <c r="G12" s="9">
        <v>1</v>
      </c>
      <c r="H12" s="13">
        <f t="shared" si="1"/>
        <v>700</v>
      </c>
      <c r="J12" s="14"/>
    </row>
    <row r="13" spans="1:14" x14ac:dyDescent="0.3">
      <c r="J13" s="14"/>
    </row>
    <row r="14" spans="1:14" x14ac:dyDescent="0.3">
      <c r="E14" s="15"/>
      <c r="H14" s="15">
        <f>SUM(H3:H13)</f>
        <v>5918.5</v>
      </c>
      <c r="J14" s="15">
        <f>SUM(J3:J11)</f>
        <v>10049.5</v>
      </c>
    </row>
    <row r="22" spans="4:4" x14ac:dyDescent="0.3">
      <c r="D22" s="15">
        <v>22000</v>
      </c>
    </row>
    <row r="23" spans="4:4" x14ac:dyDescent="0.3">
      <c r="D23" s="15">
        <v>-5300</v>
      </c>
    </row>
    <row r="24" spans="4:4" x14ac:dyDescent="0.3">
      <c r="D24" s="15">
        <v>-4400</v>
      </c>
    </row>
    <row r="25" spans="4:4" x14ac:dyDescent="0.3">
      <c r="D25" s="15">
        <v>-15200</v>
      </c>
    </row>
    <row r="26" spans="4:4" x14ac:dyDescent="0.3">
      <c r="D26" s="15">
        <v>3000</v>
      </c>
    </row>
    <row r="38" spans="2:8" x14ac:dyDescent="0.3">
      <c r="B38" t="s">
        <v>56</v>
      </c>
      <c r="C38">
        <v>3072</v>
      </c>
    </row>
    <row r="39" spans="2:8" x14ac:dyDescent="0.3">
      <c r="B39" t="s">
        <v>55</v>
      </c>
      <c r="C39">
        <v>6400</v>
      </c>
      <c r="D39" s="15">
        <v>100</v>
      </c>
      <c r="E39" t="s">
        <v>50</v>
      </c>
    </row>
    <row r="40" spans="2:8" x14ac:dyDescent="0.3">
      <c r="B40" t="s">
        <v>54</v>
      </c>
      <c r="C40">
        <v>4000</v>
      </c>
      <c r="D40" s="15">
        <v>100</v>
      </c>
      <c r="E40" t="s">
        <v>50</v>
      </c>
    </row>
    <row r="41" spans="2:8" x14ac:dyDescent="0.3">
      <c r="B41" t="s">
        <v>53</v>
      </c>
      <c r="C41">
        <v>960</v>
      </c>
      <c r="D41" s="15">
        <v>900</v>
      </c>
      <c r="E41" t="s">
        <v>51</v>
      </c>
    </row>
    <row r="42" spans="2:8" x14ac:dyDescent="0.3">
      <c r="B42" t="s">
        <v>54</v>
      </c>
      <c r="C42">
        <v>4000</v>
      </c>
      <c r="D42" s="15">
        <v>4397</v>
      </c>
      <c r="E42" t="s">
        <v>52</v>
      </c>
    </row>
    <row r="43" spans="2:8" x14ac:dyDescent="0.3">
      <c r="B43" t="s">
        <v>54</v>
      </c>
      <c r="C43">
        <v>8000</v>
      </c>
      <c r="D43" s="15">
        <v>380</v>
      </c>
      <c r="E43" t="s">
        <v>57</v>
      </c>
      <c r="H43" s="15">
        <v>200</v>
      </c>
    </row>
    <row r="44" spans="2:8" x14ac:dyDescent="0.3">
      <c r="D44" s="15">
        <v>150</v>
      </c>
      <c r="E44" t="s">
        <v>58</v>
      </c>
      <c r="H44" s="15">
        <v>100</v>
      </c>
    </row>
    <row r="45" spans="2:8" x14ac:dyDescent="0.3">
      <c r="C45">
        <f>SUM(C38:C44)</f>
        <v>26432</v>
      </c>
      <c r="D45" s="15">
        <v>100</v>
      </c>
      <c r="E45" t="s">
        <v>59</v>
      </c>
      <c r="H45" s="15">
        <v>200</v>
      </c>
    </row>
    <row r="46" spans="2:8" x14ac:dyDescent="0.3">
      <c r="D46" s="15">
        <v>500</v>
      </c>
      <c r="E46" t="s">
        <v>60</v>
      </c>
    </row>
    <row r="47" spans="2:8" x14ac:dyDescent="0.3">
      <c r="D47" s="15">
        <v>700</v>
      </c>
      <c r="E47" t="s">
        <v>61</v>
      </c>
    </row>
    <row r="48" spans="2:8" x14ac:dyDescent="0.3">
      <c r="D48" s="15">
        <f>SUM(D39:D47)</f>
        <v>7327</v>
      </c>
    </row>
    <row r="59" spans="3:4" x14ac:dyDescent="0.3">
      <c r="C59" s="17"/>
    </row>
    <row r="60" spans="3:4" x14ac:dyDescent="0.3">
      <c r="C60" s="19">
        <v>100</v>
      </c>
      <c r="D60" s="15" t="s">
        <v>38</v>
      </c>
    </row>
    <row r="61" spans="3:4" x14ac:dyDescent="0.3">
      <c r="C61" s="19">
        <v>213</v>
      </c>
      <c r="D61" s="15" t="s">
        <v>39</v>
      </c>
    </row>
    <row r="62" spans="3:4" x14ac:dyDescent="0.3">
      <c r="C62" s="19">
        <v>2196</v>
      </c>
      <c r="D62" s="15" t="s">
        <v>40</v>
      </c>
    </row>
    <row r="63" spans="3:4" x14ac:dyDescent="0.3">
      <c r="C63" s="19"/>
      <c r="D63" s="15" t="s">
        <v>41</v>
      </c>
    </row>
    <row r="64" spans="3:4" x14ac:dyDescent="0.3">
      <c r="C64" s="19">
        <v>584</v>
      </c>
      <c r="D64" s="15" t="s">
        <v>42</v>
      </c>
    </row>
    <row r="65" spans="3:4" x14ac:dyDescent="0.3">
      <c r="C65" s="19">
        <v>301</v>
      </c>
      <c r="D65" s="15" t="s">
        <v>43</v>
      </c>
    </row>
    <row r="66" spans="3:4" x14ac:dyDescent="0.3">
      <c r="C66" s="19">
        <v>199</v>
      </c>
      <c r="D66" s="15" t="s">
        <v>44</v>
      </c>
    </row>
    <row r="67" spans="3:4" x14ac:dyDescent="0.3">
      <c r="C67" s="19">
        <v>289</v>
      </c>
      <c r="D67" s="15" t="s">
        <v>45</v>
      </c>
    </row>
    <row r="68" spans="3:4" x14ac:dyDescent="0.3">
      <c r="C68" s="19">
        <v>50</v>
      </c>
      <c r="D68" s="15" t="s">
        <v>46</v>
      </c>
    </row>
    <row r="69" spans="3:4" x14ac:dyDescent="0.3">
      <c r="C69" s="19">
        <v>30</v>
      </c>
      <c r="D69" s="15" t="s">
        <v>46</v>
      </c>
    </row>
    <row r="70" spans="3:4" x14ac:dyDescent="0.3">
      <c r="C70" s="19">
        <v>20</v>
      </c>
      <c r="D70" s="15" t="s">
        <v>46</v>
      </c>
    </row>
    <row r="71" spans="3:4" x14ac:dyDescent="0.3">
      <c r="C71" s="19">
        <v>123</v>
      </c>
      <c r="D71" s="15" t="s">
        <v>47</v>
      </c>
    </row>
    <row r="72" spans="3:4" x14ac:dyDescent="0.3">
      <c r="C72" s="19">
        <v>200</v>
      </c>
      <c r="D72" s="15" t="s">
        <v>49</v>
      </c>
    </row>
    <row r="73" spans="3:4" x14ac:dyDescent="0.3">
      <c r="C73" s="19">
        <v>92</v>
      </c>
      <c r="D73" s="15" t="s">
        <v>48</v>
      </c>
    </row>
    <row r="74" spans="3:4" ht="15" thickBot="1" x14ac:dyDescent="0.35">
      <c r="C74" s="17"/>
    </row>
    <row r="75" spans="3:4" ht="15" thickBot="1" x14ac:dyDescent="0.35">
      <c r="C75" s="18">
        <f>SUM(C59:C74)</f>
        <v>4397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Husain Rangoonwala</dc:creator>
  <cp:lastModifiedBy>Husain Rangoonwala</cp:lastModifiedBy>
  <dcterms:created xsi:type="dcterms:W3CDTF">2022-09-14T12:25:44Z</dcterms:created>
  <dcterms:modified xsi:type="dcterms:W3CDTF">2022-11-20T06:51:08Z</dcterms:modified>
</cp:coreProperties>
</file>